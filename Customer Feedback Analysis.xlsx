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0f42ca6af772c5/Pictures/Documents/"/>
    </mc:Choice>
  </mc:AlternateContent>
  <xr:revisionPtr revIDLastSave="1" documentId="13_ncr:1_{B1CD5FF9-5B57-42FC-80F0-06E3CADD9662}" xr6:coauthVersionLast="47" xr6:coauthVersionMax="47" xr10:uidLastSave="{DCCA1800-8343-4F89-A8DF-F7DEBB3268A9}"/>
  <bookViews>
    <workbookView xWindow="-108" yWindow="-108" windowWidth="23256" windowHeight="12456" activeTab="1" xr2:uid="{585A5E4B-729B-4DB3-819D-D9A658D20FFE}"/>
  </bookViews>
  <sheets>
    <sheet name="id checker review" sheetId="2" r:id="rId1"/>
    <sheet name="pivot table and visualisation 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G7" i="2" s="1"/>
  <c r="G39" i="3"/>
  <c r="G38" i="3"/>
  <c r="G37" i="3"/>
  <c r="H7" i="2" l="1"/>
  <c r="G41" i="3"/>
</calcChain>
</file>

<file path=xl/sharedStrings.xml><?xml version="1.0" encoding="utf-8"?>
<sst xmlns="http://schemas.openxmlformats.org/spreadsheetml/2006/main" count="152" uniqueCount="45">
  <si>
    <t>Customer ID</t>
  </si>
  <si>
    <t>Review Date</t>
  </si>
  <si>
    <t>Rating</t>
  </si>
  <si>
    <t>10/17/2024</t>
  </si>
  <si>
    <t>Did not like the texture</t>
  </si>
  <si>
    <t>Great taste, fresh and soft</t>
  </si>
  <si>
    <t>Too sweet, not my preference</t>
  </si>
  <si>
    <t>The product was okay</t>
  </si>
  <si>
    <t>Amazing flavor!</t>
  </si>
  <si>
    <t>The cake was average</t>
  </si>
  <si>
    <t>Stale, not fresh</t>
  </si>
  <si>
    <t>Disappointed with the quality</t>
  </si>
  <si>
    <t>Absolutely loved them!</t>
  </si>
  <si>
    <t>Perfectly baked</t>
  </si>
  <si>
    <t>It was fine, nothing special</t>
  </si>
  <si>
    <t>Delicious and crispy</t>
  </si>
  <si>
    <t>Not bad, but not great either</t>
  </si>
  <si>
    <t>Comments</t>
  </si>
  <si>
    <t>Time Stamp</t>
  </si>
  <si>
    <t>Enter the Customer Id :</t>
  </si>
  <si>
    <t>CUSTOMER ID</t>
  </si>
  <si>
    <t xml:space="preserve">RATING </t>
  </si>
  <si>
    <t>COMMENT</t>
  </si>
  <si>
    <t>Bakery Sales Dataset</t>
  </si>
  <si>
    <t xml:space="preserve">Bakery Sales REVIEW </t>
  </si>
  <si>
    <t>Grand Total</t>
  </si>
  <si>
    <t>Sum of Rating</t>
  </si>
  <si>
    <t>positive rating</t>
  </si>
  <si>
    <t>negative rating</t>
  </si>
  <si>
    <t>neutral rating</t>
  </si>
  <si>
    <t>Result</t>
  </si>
  <si>
    <t xml:space="preserve">Feedback Reviews Analysis </t>
  </si>
  <si>
    <t>&lt;4.5</t>
  </si>
  <si>
    <t>&gt;4.5</t>
  </si>
  <si>
    <t>color scales</t>
  </si>
  <si>
    <t>Product</t>
  </si>
  <si>
    <t>Cookies</t>
  </si>
  <si>
    <t>Cake</t>
  </si>
  <si>
    <t>Bread</t>
  </si>
  <si>
    <t>Muffin</t>
  </si>
  <si>
    <t>Pastry</t>
  </si>
  <si>
    <t>Brownie</t>
  </si>
  <si>
    <t>Column1</t>
  </si>
  <si>
    <t>Column2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</si>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</sst>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6" xfId="0" applyBorder="1"/>
    <xf numFmtId="0" fontId="0" fillId="0" borderId="0" xfId="0" pivotButton="1"/>
    <xf numFmtId="0" fontId="0" fillId="36" borderId="10" xfId="0" applyFill="1" applyBorder="1" applyAlignment="1">
      <alignment horizontal="center" wrapText="1"/>
    </xf>
    <xf numFmtId="0" fontId="0" fillId="38" borderId="10" xfId="0" applyFill="1" applyBorder="1"/>
    <xf numFmtId="0" fontId="0" fillId="39" borderId="16" xfId="0" applyFill="1" applyBorder="1"/>
    <xf numFmtId="0" fontId="14" fillId="40" borderId="10" xfId="0" applyFont="1" applyFill="1" applyBorder="1" applyAlignment="1">
      <alignment horizontal="center"/>
    </xf>
    <xf numFmtId="0" fontId="14" fillId="36" borderId="10" xfId="0" applyFont="1" applyFill="1" applyBorder="1" applyAlignment="1">
      <alignment horizontal="center" wrapText="1"/>
    </xf>
    <xf numFmtId="0" fontId="18" fillId="34" borderId="12" xfId="0" applyFont="1" applyFill="1" applyBorder="1"/>
    <xf numFmtId="0" fontId="18" fillId="34" borderId="17" xfId="0" applyFont="1" applyFill="1" applyBorder="1"/>
    <xf numFmtId="0" fontId="18" fillId="34" borderId="19" xfId="0" applyFont="1" applyFill="1" applyBorder="1"/>
    <xf numFmtId="0" fontId="19" fillId="34" borderId="15" xfId="0" applyFont="1" applyFill="1" applyBorder="1"/>
    <xf numFmtId="0" fontId="19" fillId="34" borderId="14" xfId="0" applyFont="1" applyFill="1" applyBorder="1"/>
    <xf numFmtId="0" fontId="19" fillId="34" borderId="18" xfId="0" applyFont="1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14" fillId="36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0" fontId="0" fillId="37" borderId="14" xfId="0" applyFill="1" applyBorder="1" applyAlignment="1">
      <alignment horizontal="center"/>
    </xf>
    <xf numFmtId="0" fontId="0" fillId="36" borderId="10" xfId="0" applyFill="1" applyBorder="1" applyAlignment="1">
      <alignment horizontal="center" wrapText="1"/>
    </xf>
    <xf numFmtId="0" fontId="0" fillId="35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2" defaultTableStyle="Table Style 2" defaultPivotStyle="PivotStyleLight16">
    <tableStyle name="Table Style 1" pivot="0" count="0" xr9:uid="{02EBB1BA-E0D9-4326-8F00-AD4695A2C966}"/>
    <tableStyle name="Table Style 2" pivot="0" count="0" xr9:uid="{91B613D8-6B85-47D1-B999-C33A01180331}"/>
  </tableStyles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Reviews Of Customers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16-4CBF-BE2F-A1260BF9E9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16-4CBF-BE2F-A1260BF9E9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16-4CBF-BE2F-A1260BF9E95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and visualisation '!$F$37:$F$39</c:f>
              <c:strCache>
                <c:ptCount val="3"/>
                <c:pt idx="0">
                  <c:v>positive rating</c:v>
                </c:pt>
                <c:pt idx="1">
                  <c:v>negative rating</c:v>
                </c:pt>
                <c:pt idx="2">
                  <c:v>neutral rating</c:v>
                </c:pt>
              </c:strCache>
            </c:strRef>
          </c:cat>
          <c:val>
            <c:numRef>
              <c:f>'pivot table and visualisation '!$G$37:$G$39</c:f>
              <c:numCache>
                <c:formatCode>General</c:formatCode>
                <c:ptCount val="3"/>
                <c:pt idx="0">
                  <c:v>85</c:v>
                </c:pt>
                <c:pt idx="1">
                  <c:v>20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A-4916-8C67-EDF5B2BF86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Feedback Analysis.xlsx]pivot table and visualisation 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8803149606299189E-2"/>
          <c:y val="0.1892107757363663"/>
          <c:w val="0.78645603674540687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and visualisation '!$G$23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visualisation '!$F$24:$F$29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 and visualisation '!$G$24:$G$29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24</c:v>
                </c:pt>
                <c:pt idx="3">
                  <c:v>20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7-47EC-8357-55129EE8B6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10406319"/>
        <c:axId val="2110399119"/>
        <c:axId val="0"/>
      </c:bar3DChart>
      <c:catAx>
        <c:axId val="211040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99119"/>
        <c:crosses val="autoZero"/>
        <c:auto val="1"/>
        <c:lblAlgn val="ctr"/>
        <c:lblOffset val="100"/>
        <c:noMultiLvlLbl val="0"/>
      </c:catAx>
      <c:valAx>
        <c:axId val="211039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0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Rating Based</a:t>
            </a:r>
            <a:r>
              <a:rPr lang="en-US" sz="2400" baseline="0"/>
              <a:t> on Timeline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7826170710545933"/>
          <c:y val="4.2717080804840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912701103301264"/>
          <c:y val="0.13004630358280064"/>
          <c:w val="0.75716185476815401"/>
          <c:h val="0.77736111111111106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'id checker review'!$H$12</c:f>
              <c:strCache>
                <c:ptCount val="1"/>
                <c:pt idx="0">
                  <c:v>Rating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'id checker review'!$G$12:$G$54</c:f>
              <c:strCache>
                <c:ptCount val="43"/>
                <c:pt idx="0">
                  <c:v>Time Stamp</c:v>
                </c:pt>
                <c:pt idx="1">
                  <c:v>22:51:38</c:v>
                </c:pt>
                <c:pt idx="2">
                  <c:v>14:57:10</c:v>
                </c:pt>
                <c:pt idx="3">
                  <c:v>11:56:06</c:v>
                </c:pt>
                <c:pt idx="4">
                  <c:v>12:47:40</c:v>
                </c:pt>
                <c:pt idx="5">
                  <c:v>22:49:06</c:v>
                </c:pt>
                <c:pt idx="6">
                  <c:v>16:11:51</c:v>
                </c:pt>
                <c:pt idx="7">
                  <c:v>12:13:02</c:v>
                </c:pt>
                <c:pt idx="8">
                  <c:v>18:01:27</c:v>
                </c:pt>
                <c:pt idx="9">
                  <c:v>10:38:00</c:v>
                </c:pt>
                <c:pt idx="10">
                  <c:v>20:50:53</c:v>
                </c:pt>
                <c:pt idx="11">
                  <c:v>11:50:00</c:v>
                </c:pt>
                <c:pt idx="12">
                  <c:v>20:31:18</c:v>
                </c:pt>
                <c:pt idx="13">
                  <c:v>11:52:31</c:v>
                </c:pt>
                <c:pt idx="14">
                  <c:v>15:41:09</c:v>
                </c:pt>
                <c:pt idx="15">
                  <c:v>19:22:48</c:v>
                </c:pt>
                <c:pt idx="16">
                  <c:v>12:28:14</c:v>
                </c:pt>
                <c:pt idx="17">
                  <c:v>13:28:54</c:v>
                </c:pt>
                <c:pt idx="18">
                  <c:v>21:03:10</c:v>
                </c:pt>
                <c:pt idx="19">
                  <c:v>13:00:26</c:v>
                </c:pt>
                <c:pt idx="20">
                  <c:v>16:00:20</c:v>
                </c:pt>
                <c:pt idx="21">
                  <c:v>11:26:48</c:v>
                </c:pt>
                <c:pt idx="22">
                  <c:v>20:05:53</c:v>
                </c:pt>
                <c:pt idx="23">
                  <c:v>11:39:25</c:v>
                </c:pt>
                <c:pt idx="24">
                  <c:v>14:57:50</c:v>
                </c:pt>
                <c:pt idx="25">
                  <c:v>14:52:53</c:v>
                </c:pt>
                <c:pt idx="26">
                  <c:v>17:06:51</c:v>
                </c:pt>
                <c:pt idx="27">
                  <c:v>17:13:19</c:v>
                </c:pt>
                <c:pt idx="28">
                  <c:v>12:41:25</c:v>
                </c:pt>
                <c:pt idx="29">
                  <c:v>16:18:07</c:v>
                </c:pt>
                <c:pt idx="30">
                  <c:v>19:30:14</c:v>
                </c:pt>
                <c:pt idx="31">
                  <c:v>19:18:35</c:v>
                </c:pt>
                <c:pt idx="32">
                  <c:v>21:23:50</c:v>
                </c:pt>
                <c:pt idx="33">
                  <c:v>17:44:09</c:v>
                </c:pt>
                <c:pt idx="34">
                  <c:v>12:59:58</c:v>
                </c:pt>
                <c:pt idx="35">
                  <c:v>10:14:31</c:v>
                </c:pt>
                <c:pt idx="36">
                  <c:v>12:42:22</c:v>
                </c:pt>
                <c:pt idx="37">
                  <c:v>19:29:56</c:v>
                </c:pt>
                <c:pt idx="38">
                  <c:v>17:02:52</c:v>
                </c:pt>
                <c:pt idx="39">
                  <c:v>18:28:13</c:v>
                </c:pt>
                <c:pt idx="40">
                  <c:v>15:41:33</c:v>
                </c:pt>
                <c:pt idx="41">
                  <c:v>12:53:53</c:v>
                </c:pt>
                <c:pt idx="42">
                  <c:v>17:04:51</c:v>
                </c:pt>
              </c:strCache>
            </c:strRef>
          </c:cat>
          <c:val>
            <c:numRef>
              <c:f>'id checker review'!$H$13:$H$54</c:f>
              <c:numCache>
                <c:formatCode>General</c:formatCode>
                <c:ptCount val="42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  <c:pt idx="14">
                  <c:v>3</c:v>
                </c:pt>
                <c:pt idx="15">
                  <c:v>3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  <c:pt idx="22">
                  <c:v>5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5</c:v>
                </c:pt>
                <c:pt idx="29">
                  <c:v>1</c:v>
                </c:pt>
                <c:pt idx="30">
                  <c:v>4</c:v>
                </c:pt>
                <c:pt idx="31">
                  <c:v>5</c:v>
                </c:pt>
                <c:pt idx="32">
                  <c:v>2</c:v>
                </c:pt>
                <c:pt idx="33">
                  <c:v>3</c:v>
                </c:pt>
                <c:pt idx="34">
                  <c:v>1</c:v>
                </c:pt>
                <c:pt idx="35">
                  <c:v>5</c:v>
                </c:pt>
                <c:pt idx="36">
                  <c:v>1</c:v>
                </c:pt>
                <c:pt idx="37">
                  <c:v>5</c:v>
                </c:pt>
                <c:pt idx="38">
                  <c:v>5</c:v>
                </c:pt>
                <c:pt idx="39">
                  <c:v>3</c:v>
                </c:pt>
                <c:pt idx="40">
                  <c:v>1</c:v>
                </c:pt>
                <c:pt idx="4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A-4F53-8F38-6AAA014CA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75009424"/>
        <c:axId val="2753218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'id checker review'!$G$12</c15:sqref>
                        </c15:formulaRef>
                      </c:ext>
                    </c:extLst>
                    <c:strCache>
                      <c:ptCount val="1"/>
                      <c:pt idx="0">
                        <c:v>Time Stamp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'id checker review'!$G$12:$G$54</c15:sqref>
                        </c15:formulaRef>
                      </c:ext>
                    </c:extLst>
                    <c:strCache>
                      <c:ptCount val="43"/>
                      <c:pt idx="0">
                        <c:v>Time Stamp</c:v>
                      </c:pt>
                      <c:pt idx="1">
                        <c:v>22:51:38</c:v>
                      </c:pt>
                      <c:pt idx="2">
                        <c:v>14:57:10</c:v>
                      </c:pt>
                      <c:pt idx="3">
                        <c:v>11:56:06</c:v>
                      </c:pt>
                      <c:pt idx="4">
                        <c:v>12:47:40</c:v>
                      </c:pt>
                      <c:pt idx="5">
                        <c:v>22:49:06</c:v>
                      </c:pt>
                      <c:pt idx="6">
                        <c:v>16:11:51</c:v>
                      </c:pt>
                      <c:pt idx="7">
                        <c:v>12:13:02</c:v>
                      </c:pt>
                      <c:pt idx="8">
                        <c:v>18:01:27</c:v>
                      </c:pt>
                      <c:pt idx="9">
                        <c:v>10:38:00</c:v>
                      </c:pt>
                      <c:pt idx="10">
                        <c:v>20:50:53</c:v>
                      </c:pt>
                      <c:pt idx="11">
                        <c:v>11:50:00</c:v>
                      </c:pt>
                      <c:pt idx="12">
                        <c:v>20:31:18</c:v>
                      </c:pt>
                      <c:pt idx="13">
                        <c:v>11:52:31</c:v>
                      </c:pt>
                      <c:pt idx="14">
                        <c:v>15:41:09</c:v>
                      </c:pt>
                      <c:pt idx="15">
                        <c:v>19:22:48</c:v>
                      </c:pt>
                      <c:pt idx="16">
                        <c:v>12:28:14</c:v>
                      </c:pt>
                      <c:pt idx="17">
                        <c:v>13:28:54</c:v>
                      </c:pt>
                      <c:pt idx="18">
                        <c:v>21:03:10</c:v>
                      </c:pt>
                      <c:pt idx="19">
                        <c:v>13:00:26</c:v>
                      </c:pt>
                      <c:pt idx="20">
                        <c:v>16:00:20</c:v>
                      </c:pt>
                      <c:pt idx="21">
                        <c:v>11:26:48</c:v>
                      </c:pt>
                      <c:pt idx="22">
                        <c:v>20:05:53</c:v>
                      </c:pt>
                      <c:pt idx="23">
                        <c:v>11:39:25</c:v>
                      </c:pt>
                      <c:pt idx="24">
                        <c:v>14:57:50</c:v>
                      </c:pt>
                      <c:pt idx="25">
                        <c:v>14:52:53</c:v>
                      </c:pt>
                      <c:pt idx="26">
                        <c:v>17:06:51</c:v>
                      </c:pt>
                      <c:pt idx="27">
                        <c:v>17:13:19</c:v>
                      </c:pt>
                      <c:pt idx="28">
                        <c:v>12:41:25</c:v>
                      </c:pt>
                      <c:pt idx="29">
                        <c:v>16:18:07</c:v>
                      </c:pt>
                      <c:pt idx="30">
                        <c:v>19:30:14</c:v>
                      </c:pt>
                      <c:pt idx="31">
                        <c:v>19:18:35</c:v>
                      </c:pt>
                      <c:pt idx="32">
                        <c:v>21:23:50</c:v>
                      </c:pt>
                      <c:pt idx="33">
                        <c:v>17:44:09</c:v>
                      </c:pt>
                      <c:pt idx="34">
                        <c:v>12:59:58</c:v>
                      </c:pt>
                      <c:pt idx="35">
                        <c:v>10:14:31</c:v>
                      </c:pt>
                      <c:pt idx="36">
                        <c:v>12:42:22</c:v>
                      </c:pt>
                      <c:pt idx="37">
                        <c:v>19:29:56</c:v>
                      </c:pt>
                      <c:pt idx="38">
                        <c:v>17:02:52</c:v>
                      </c:pt>
                      <c:pt idx="39">
                        <c:v>18:28:13</c:v>
                      </c:pt>
                      <c:pt idx="40">
                        <c:v>15:41:33</c:v>
                      </c:pt>
                      <c:pt idx="41">
                        <c:v>12:53:53</c:v>
                      </c:pt>
                      <c:pt idx="42">
                        <c:v>17:04:51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'id checker review'!$G$13:$G$54</c15:sqref>
                        </c15:formulaRef>
                      </c:ext>
                    </c:extLst>
                    <c:numCache>
                      <c:formatCode>[$-F400]h:mm:ss\ AM/PM</c:formatCode>
                      <c:ptCount val="42"/>
                      <c:pt idx="0">
                        <c:v>0.9525231481481482</c:v>
                      </c:pt>
                      <c:pt idx="1">
                        <c:v>0.6230324074074074</c:v>
                      </c:pt>
                      <c:pt idx="2">
                        <c:v>0.49729166666666669</c:v>
                      </c:pt>
                      <c:pt idx="3">
                        <c:v>0.53310185185185188</c:v>
                      </c:pt>
                      <c:pt idx="4">
                        <c:v>0.95076388888888885</c:v>
                      </c:pt>
                      <c:pt idx="5">
                        <c:v>0.67489583333333336</c:v>
                      </c:pt>
                      <c:pt idx="6">
                        <c:v>0.50905092592592593</c:v>
                      </c:pt>
                      <c:pt idx="7">
                        <c:v>0.75100694444444449</c:v>
                      </c:pt>
                      <c:pt idx="8">
                        <c:v>0.44305555555555554</c:v>
                      </c:pt>
                      <c:pt idx="9">
                        <c:v>0.86866898148148153</c:v>
                      </c:pt>
                      <c:pt idx="10">
                        <c:v>0.49305555555555558</c:v>
                      </c:pt>
                      <c:pt idx="11">
                        <c:v>0.85506944444444444</c:v>
                      </c:pt>
                      <c:pt idx="12">
                        <c:v>0.49480324074074072</c:v>
                      </c:pt>
                      <c:pt idx="13">
                        <c:v>0.65357638888888892</c:v>
                      </c:pt>
                      <c:pt idx="14">
                        <c:v>0.8075</c:v>
                      </c:pt>
                      <c:pt idx="15">
                        <c:v>0.51960648148148147</c:v>
                      </c:pt>
                      <c:pt idx="16">
                        <c:v>0.5617361111111111</c:v>
                      </c:pt>
                      <c:pt idx="17">
                        <c:v>0.87719907407407405</c:v>
                      </c:pt>
                      <c:pt idx="18">
                        <c:v>0.54196759259259264</c:v>
                      </c:pt>
                      <c:pt idx="19">
                        <c:v>0.66689814814814818</c:v>
                      </c:pt>
                      <c:pt idx="20">
                        <c:v>0.47694444444444445</c:v>
                      </c:pt>
                      <c:pt idx="21">
                        <c:v>0.83741898148148153</c:v>
                      </c:pt>
                      <c:pt idx="22">
                        <c:v>0.48570601851851852</c:v>
                      </c:pt>
                      <c:pt idx="23">
                        <c:v>0.62349537037037039</c:v>
                      </c:pt>
                      <c:pt idx="24">
                        <c:v>0.62005787037037041</c:v>
                      </c:pt>
                      <c:pt idx="25">
                        <c:v>0.71309027777777778</c:v>
                      </c:pt>
                      <c:pt idx="26">
                        <c:v>0.71758101851851852</c:v>
                      </c:pt>
                      <c:pt idx="27">
                        <c:v>0.52876157407407409</c:v>
                      </c:pt>
                      <c:pt idx="28">
                        <c:v>0.67924768518518519</c:v>
                      </c:pt>
                      <c:pt idx="29">
                        <c:v>0.81266203703703699</c:v>
                      </c:pt>
                      <c:pt idx="30">
                        <c:v>0.80457175925925928</c:v>
                      </c:pt>
                      <c:pt idx="31">
                        <c:v>0.89155092592592589</c:v>
                      </c:pt>
                      <c:pt idx="32">
                        <c:v>0.7389930555555555</c:v>
                      </c:pt>
                      <c:pt idx="33">
                        <c:v>0.54164351851851855</c:v>
                      </c:pt>
                      <c:pt idx="34">
                        <c:v>0.42674768518518519</c:v>
                      </c:pt>
                      <c:pt idx="35">
                        <c:v>0.52942129629629631</c:v>
                      </c:pt>
                      <c:pt idx="36">
                        <c:v>0.81245370370370373</c:v>
                      </c:pt>
                      <c:pt idx="37">
                        <c:v>0.71032407407407405</c:v>
                      </c:pt>
                      <c:pt idx="38">
                        <c:v>0.76959490740740744</c:v>
                      </c:pt>
                      <c:pt idx="39">
                        <c:v>0.65385416666666663</c:v>
                      </c:pt>
                      <c:pt idx="40">
                        <c:v>0.53741898148148148</c:v>
                      </c:pt>
                      <c:pt idx="41">
                        <c:v>0.7117013888888889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4AA-4F53-8F38-6AAA014CAE66}"/>
                  </c:ext>
                </c:extLst>
              </c15:ser>
            </c15:filteredBarSeries>
          </c:ext>
        </c:extLst>
      </c:barChart>
      <c:catAx>
        <c:axId val="47500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1840"/>
        <c:crosses val="autoZero"/>
        <c:auto val="1"/>
        <c:lblAlgn val="ctr"/>
        <c:lblOffset val="100"/>
        <c:noMultiLvlLbl val="0"/>
      </c:catAx>
      <c:valAx>
        <c:axId val="27532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00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118515</xdr:colOff>
      <xdr:row>21</xdr:row>
      <xdr:rowOff>150055</xdr:rowOff>
    </xdr:from>
    <xdr:to>
      <xdr:col>34</xdr:col>
      <xdr:colOff>118515</xdr:colOff>
      <xdr:row>40</xdr:row>
      <xdr:rowOff>176702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A62422-8A15-590C-F5E8-4E6E2A0A4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577746</xdr:colOff>
      <xdr:row>1</xdr:row>
      <xdr:rowOff>140533</xdr:rowOff>
    </xdr:from>
    <xdr:to>
      <xdr:col>34</xdr:col>
      <xdr:colOff>10278</xdr:colOff>
      <xdr:row>20</xdr:row>
      <xdr:rowOff>78074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89D33C-5D5B-F833-CDFD-7DACBCA58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109303</xdr:colOff>
      <xdr:row>1</xdr:row>
      <xdr:rowOff>124917</xdr:rowOff>
    </xdr:from>
    <xdr:to>
      <xdr:col>56</xdr:col>
      <xdr:colOff>390369</xdr:colOff>
      <xdr:row>41</xdr:row>
      <xdr:rowOff>62459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B9B4DD-DF9C-4796-9A6C-F43C58BB2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598.465479282408" createdVersion="8" refreshedVersion="8" minRefreshableVersion="3" recordCount="42" xr:uid="{051D8EA6-5D16-46BD-AD2C-D363E5F80214}">
  <cacheSource type="worksheet">
    <worksheetSource name="Table2"/>
  </cacheSource>
  <cacheFields count="5">
    <cacheField name="Customer ID" numFmtId="0">
      <sharedItems containsSemiMixedTypes="0" containsString="0" containsNumber="1" containsInteger="1" minValue="1" maxValue="42"/>
    </cacheField>
    <cacheField name="Review Date" numFmtId="0">
      <sharedItems/>
    </cacheField>
    <cacheField name="Time Stamp" numFmtId="0">
      <sharedItems containsSemiMixedTypes="0" containsString="0" containsNumber="1" minValue="0.42674768518518519" maxValue="0.9525231481481482"/>
    </cacheField>
    <cacheField name="Rating" numFmtId="0">
      <sharedItems containsSemiMixedTypes="0" containsString="0" containsNumber="1" containsInteger="1" minValue="1" maxValue="5" count="5">
        <n v="2"/>
        <n v="5"/>
        <n v="3"/>
        <n v="1"/>
        <n v="4"/>
      </sharedItems>
    </cacheField>
    <cacheField name="Com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1"/>
    <s v="10/17/2024"/>
    <n v="0.9525231481481482"/>
    <x v="0"/>
    <s v="Stale, not fresh"/>
  </r>
  <r>
    <n v="2"/>
    <s v="10/17/2024"/>
    <n v="0.6230324074074074"/>
    <x v="1"/>
    <s v="Great taste, fresh and soft"/>
  </r>
  <r>
    <n v="3"/>
    <s v="10/17/2024"/>
    <n v="0.49729166666666669"/>
    <x v="0"/>
    <s v="Too sweet, not my preference"/>
  </r>
  <r>
    <n v="4"/>
    <s v="10/17/2024"/>
    <n v="0.53310185185185188"/>
    <x v="2"/>
    <s v="The product was okay"/>
  </r>
  <r>
    <n v="5"/>
    <s v="10/17/2024"/>
    <n v="0.95076388888888885"/>
    <x v="1"/>
    <s v="Amazing flavor!"/>
  </r>
  <r>
    <n v="6"/>
    <s v="10/17/2024"/>
    <n v="0.67489583333333336"/>
    <x v="2"/>
    <s v="The cake was average"/>
  </r>
  <r>
    <n v="7"/>
    <s v="10/17/2024"/>
    <n v="0.50905092592592593"/>
    <x v="3"/>
    <s v="Stale, not fresh"/>
  </r>
  <r>
    <n v="8"/>
    <s v="10/17/2024"/>
    <n v="0.75100694444444449"/>
    <x v="4"/>
    <s v="Great taste, fresh and soft"/>
  </r>
  <r>
    <n v="9"/>
    <s v="10/17/2024"/>
    <n v="0.44305555555555554"/>
    <x v="2"/>
    <s v="The product was okay"/>
  </r>
  <r>
    <n v="10"/>
    <s v="10/17/2024"/>
    <n v="0.86866898148148153"/>
    <x v="3"/>
    <s v="Disappointed with the quality"/>
  </r>
  <r>
    <n v="11"/>
    <s v="10/17/2024"/>
    <n v="0.49305555555555558"/>
    <x v="1"/>
    <s v="Absolutely loved them!"/>
  </r>
  <r>
    <n v="12"/>
    <s v="10/17/2024"/>
    <n v="0.85506944444444444"/>
    <x v="3"/>
    <s v="Did not like the texture"/>
  </r>
  <r>
    <n v="13"/>
    <s v="10/17/2024"/>
    <n v="0.49480324074074072"/>
    <x v="1"/>
    <s v="Perfectly baked"/>
  </r>
  <r>
    <n v="14"/>
    <s v="10/17/2024"/>
    <n v="0.65357638888888892"/>
    <x v="3"/>
    <s v="Stale, not fresh"/>
  </r>
  <r>
    <n v="15"/>
    <s v="10/17/2024"/>
    <n v="0.8075"/>
    <x v="2"/>
    <s v="The cake was average"/>
  </r>
  <r>
    <n v="16"/>
    <s v="10/17/2024"/>
    <n v="0.51960648148148147"/>
    <x v="2"/>
    <s v="It was fine, nothing special"/>
  </r>
  <r>
    <n v="17"/>
    <s v="10/17/2024"/>
    <n v="0.5617361111111111"/>
    <x v="1"/>
    <s v="Absolutely loved them!"/>
  </r>
  <r>
    <n v="18"/>
    <s v="10/17/2024"/>
    <n v="0.87719907407407405"/>
    <x v="4"/>
    <s v="Great taste, fresh and soft"/>
  </r>
  <r>
    <n v="19"/>
    <s v="10/17/2024"/>
    <n v="0.54196759259259264"/>
    <x v="4"/>
    <s v="Perfectly baked"/>
  </r>
  <r>
    <n v="20"/>
    <s v="10/17/2024"/>
    <n v="0.66689814814814818"/>
    <x v="1"/>
    <s v="Great taste, fresh and soft"/>
  </r>
  <r>
    <n v="21"/>
    <s v="10/17/2024"/>
    <n v="0.47694444444444445"/>
    <x v="3"/>
    <s v="Too sweet, not my preference"/>
  </r>
  <r>
    <n v="22"/>
    <s v="10/17/2024"/>
    <n v="0.83741898148148153"/>
    <x v="3"/>
    <s v="Did not like the texture"/>
  </r>
  <r>
    <n v="23"/>
    <s v="10/17/2024"/>
    <n v="0.48570601851851852"/>
    <x v="1"/>
    <s v="Delicious and crispy"/>
  </r>
  <r>
    <n v="24"/>
    <s v="10/17/2024"/>
    <n v="0.62349537037037039"/>
    <x v="3"/>
    <s v="Too sweet, not my preference"/>
  </r>
  <r>
    <n v="25"/>
    <s v="10/17/2024"/>
    <n v="0.62005787037037041"/>
    <x v="4"/>
    <s v="Absolutely loved them!"/>
  </r>
  <r>
    <n v="26"/>
    <s v="10/17/2024"/>
    <n v="0.71309027777777778"/>
    <x v="3"/>
    <s v="Did not like the texture"/>
  </r>
  <r>
    <n v="27"/>
    <s v="10/17/2024"/>
    <n v="0.71758101851851852"/>
    <x v="0"/>
    <s v="Too sweet, not my preference"/>
  </r>
  <r>
    <n v="28"/>
    <s v="10/17/2024"/>
    <n v="0.52876157407407409"/>
    <x v="2"/>
    <s v="The cake was average"/>
  </r>
  <r>
    <n v="29"/>
    <s v="10/17/2024"/>
    <n v="0.67924768518518519"/>
    <x v="1"/>
    <s v="Delicious and crispy"/>
  </r>
  <r>
    <n v="30"/>
    <s v="10/17/2024"/>
    <n v="0.81266203703703699"/>
    <x v="3"/>
    <s v="Stale, not fresh"/>
  </r>
  <r>
    <n v="31"/>
    <s v="10/17/2024"/>
    <n v="0.80457175925925928"/>
    <x v="4"/>
    <s v="Delicious and crispy"/>
  </r>
  <r>
    <n v="32"/>
    <s v="10/17/2024"/>
    <n v="0.89155092592592589"/>
    <x v="1"/>
    <s v="Great taste, fresh and soft"/>
  </r>
  <r>
    <n v="33"/>
    <s v="10/17/2024"/>
    <n v="0.7389930555555555"/>
    <x v="0"/>
    <s v="Did not like the texture"/>
  </r>
  <r>
    <n v="34"/>
    <s v="10/17/2024"/>
    <n v="0.54164351851851855"/>
    <x v="2"/>
    <s v="Not bad, but not great either"/>
  </r>
  <r>
    <n v="35"/>
    <s v="10/17/2024"/>
    <n v="0.42674768518518519"/>
    <x v="3"/>
    <s v="Disappointed with the quality"/>
  </r>
  <r>
    <n v="36"/>
    <s v="10/17/2024"/>
    <n v="0.52942129629629631"/>
    <x v="1"/>
    <s v="Perfectly baked"/>
  </r>
  <r>
    <n v="37"/>
    <s v="10/17/2024"/>
    <n v="0.81245370370370373"/>
    <x v="3"/>
    <s v="Too sweet, not my preference"/>
  </r>
  <r>
    <n v="38"/>
    <s v="10/17/2024"/>
    <n v="0.71032407407407405"/>
    <x v="1"/>
    <s v="Delicious and crispy"/>
  </r>
  <r>
    <n v="39"/>
    <s v="10/17/2024"/>
    <n v="0.76959490740740744"/>
    <x v="1"/>
    <s v="Perfectly baked"/>
  </r>
  <r>
    <n v="40"/>
    <s v="10/17/2024"/>
    <n v="0.65385416666666663"/>
    <x v="2"/>
    <s v="Not bad, but not great either"/>
  </r>
  <r>
    <n v="41"/>
    <s v="10/17/2024"/>
    <n v="0.53741898148148148"/>
    <x v="3"/>
    <s v="Stale, not fresh"/>
  </r>
  <r>
    <n v="42"/>
    <s v="10/17/2024"/>
    <n v="0.7117013888888889"/>
    <x v="1"/>
    <s v="Amazing flavor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B3AEC-3A78-4E3F-9E21-1E3A611482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F23:G29" firstHeaderRow="1" firstDataRow="1" firstDataCol="1"/>
  <pivotFields count="5">
    <pivotField compact="0" outline="0" showAll="0"/>
    <pivotField compact="0" outline="0" showAll="0"/>
    <pivotField compact="0" numFmtId="164" outline="0" showAll="0"/>
    <pivotField axis="axisRow" dataField="1" compact="0" outline="0" multipleItemSelectionAllowed="1" showAll="0">
      <items count="6">
        <item x="3"/>
        <item x="0"/>
        <item x="2"/>
        <item x="4"/>
        <item x="1"/>
        <item t="default"/>
      </items>
    </pivotField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ating" fld="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53249-2C62-4BEC-A74A-6AB74DC23384}" name="Table2" displayName="Table2" ref="E12:I54" totalsRowShown="0" headerRowBorderDxfId="11" tableBorderDxfId="10" totalsRowBorderDxfId="9" headerRowCellStyle="Normal" dataCellStyle="Normal">
  <autoFilter ref="E12:I54" xr:uid="{C9E53249-2C62-4BEC-A74A-6AB74DC2338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6FB4340-0FD7-4451-83B0-A51772794DCD}" name="Customer ID" dataCellStyle="Normal"/>
    <tableColumn id="2" xr3:uid="{FE8BC0DF-F2CD-4688-90CF-594A6DBBB67E}" name="Review Date" dataCellStyle="Normal"/>
    <tableColumn id="3" xr3:uid="{9359600D-1691-4B4E-B6D5-6A924146C55B}" name="Time Stamp" dataDxfId="8" dataCellStyle="Normal"/>
    <tableColumn id="4" xr3:uid="{00962835-CD85-472A-BBAE-59EF1F92D524}" name="Rating" dataCellStyle="Normal"/>
    <tableColumn id="5" xr3:uid="{A3223A85-D48F-4F03-9DF8-A765FB174893}" name="Comments" dataDxfId="7" dataCellStyle="Normal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5EB6A-64F4-4EF3-8E77-7EEA2F2C8DED}" name="Table1" displayName="Table1" ref="F36:G41" totalsRowShown="0" headerRowBorderDxfId="6" tableBorderDxfId="5" totalsRowBorderDxfId="4">
  <autoFilter ref="F36:G41" xr:uid="{D2E5EB6A-64F4-4EF3-8E77-7EEA2F2C8DED}">
    <filterColumn colId="0" hiddenButton="1"/>
    <filterColumn colId="1" hiddenButton="1"/>
  </autoFilter>
  <tableColumns count="2">
    <tableColumn id="1" xr3:uid="{89BAC310-9882-45F3-8654-24573BD62700}" name="Column1" dataDxfId="3"/>
    <tableColumn id="2" xr3:uid="{6744ACF3-714B-4FDF-901E-70E32E7AD453}" name="Column2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93DA-15EB-4BD6-860F-3AF8658C40EB}">
  <sheetPr codeName="Sheet1">
    <tabColor rgb="FFFFFF00"/>
  </sheetPr>
  <dimension ref="D1:N54"/>
  <sheetViews>
    <sheetView topLeftCell="A4" zoomScale="84" zoomScaleNormal="84" workbookViewId="0">
      <selection activeCell="L14" sqref="L14"/>
    </sheetView>
  </sheetViews>
  <sheetFormatPr defaultRowHeight="14.4" x14ac:dyDescent="0.3"/>
  <cols>
    <col min="5" max="5" width="14" customWidth="1"/>
    <col min="6" max="6" width="14.33203125" customWidth="1"/>
    <col min="7" max="7" width="13.5546875" customWidth="1"/>
    <col min="8" max="8" width="10.5546875" customWidth="1"/>
    <col min="9" max="9" width="12.6640625" customWidth="1"/>
  </cols>
  <sheetData>
    <row r="1" spans="4:14" x14ac:dyDescent="0.3">
      <c r="E1" s="26" t="s">
        <v>24</v>
      </c>
      <c r="F1" s="26"/>
      <c r="G1" s="26"/>
      <c r="H1" s="26"/>
      <c r="I1" s="26"/>
    </row>
    <row r="2" spans="4:14" x14ac:dyDescent="0.3">
      <c r="E2" s="26"/>
      <c r="F2" s="26"/>
      <c r="G2" s="26"/>
      <c r="H2" s="26"/>
      <c r="I2" s="26"/>
    </row>
    <row r="3" spans="4:14" x14ac:dyDescent="0.3">
      <c r="E3" s="1"/>
      <c r="F3" s="1"/>
      <c r="G3" s="1"/>
      <c r="H3" s="1"/>
      <c r="I3" s="1"/>
    </row>
    <row r="4" spans="4:14" x14ac:dyDescent="0.3">
      <c r="E4" s="27" t="s">
        <v>19</v>
      </c>
      <c r="F4" s="28"/>
      <c r="G4" s="29"/>
      <c r="H4" s="8"/>
      <c r="I4" s="1"/>
      <c r="M4" s="24" t="s">
        <v>34</v>
      </c>
      <c r="N4" s="24"/>
    </row>
    <row r="5" spans="4:14" x14ac:dyDescent="0.3">
      <c r="E5" s="1"/>
      <c r="F5" s="1"/>
      <c r="G5" s="1"/>
      <c r="H5" s="1"/>
      <c r="I5" s="1"/>
      <c r="M5" s="7"/>
      <c r="N5" s="3" t="s">
        <v>32</v>
      </c>
    </row>
    <row r="6" spans="4:14" ht="15" customHeight="1" x14ac:dyDescent="0.3">
      <c r="E6" s="30" t="s">
        <v>20</v>
      </c>
      <c r="F6" s="30"/>
      <c r="G6" s="5" t="s">
        <v>21</v>
      </c>
      <c r="H6" s="5" t="s">
        <v>22</v>
      </c>
      <c r="I6" s="1"/>
      <c r="M6" s="6"/>
      <c r="N6" s="2" t="s">
        <v>33</v>
      </c>
    </row>
    <row r="7" spans="4:14" ht="44.25" customHeight="1" x14ac:dyDescent="0.3">
      <c r="E7" s="25" t="str">
        <f>IF(H4,H4,"")</f>
        <v/>
      </c>
      <c r="F7" s="25"/>
      <c r="G7" s="9" t="str">
        <f>IF(ISBLANK($H$4),"",IFERROR(VLOOKUP($E$7,$E$12:$I$54,4,FALSE),"not present"))</f>
        <v/>
      </c>
      <c r="H7" s="9" t="str">
        <f>IF(ISBLANK($H$4),"",IFERROR(VLOOKUP($E$7,$E$12:$I$54,5,FALSE),"not present"))</f>
        <v/>
      </c>
      <c r="I7" s="1"/>
    </row>
    <row r="8" spans="4:14" x14ac:dyDescent="0.3">
      <c r="E8" s="1"/>
      <c r="F8" s="1"/>
      <c r="G8" s="1"/>
      <c r="H8" s="1"/>
      <c r="I8" s="1"/>
    </row>
    <row r="9" spans="4:14" x14ac:dyDescent="0.3">
      <c r="E9" s="1"/>
      <c r="F9" s="1"/>
      <c r="G9" s="1"/>
      <c r="H9" s="1"/>
      <c r="I9" s="1"/>
    </row>
    <row r="10" spans="4:14" x14ac:dyDescent="0.3">
      <c r="D10" s="18" t="s">
        <v>23</v>
      </c>
      <c r="E10" s="19"/>
      <c r="F10" s="19"/>
      <c r="G10" s="19"/>
      <c r="H10" s="19"/>
      <c r="I10" s="20"/>
    </row>
    <row r="11" spans="4:14" x14ac:dyDescent="0.3">
      <c r="D11" s="21"/>
      <c r="E11" s="22"/>
      <c r="F11" s="22"/>
      <c r="G11" s="22"/>
      <c r="H11" s="22"/>
      <c r="I11" s="23"/>
    </row>
    <row r="12" spans="4:14" x14ac:dyDescent="0.3">
      <c r="D12" s="2" t="s">
        <v>35</v>
      </c>
      <c r="E12" t="s">
        <v>0</v>
      </c>
      <c r="F12" t="s">
        <v>1</v>
      </c>
      <c r="G12" s="17" t="s">
        <v>18</v>
      </c>
      <c r="H12" t="s">
        <v>2</v>
      </c>
      <c r="I12" t="s">
        <v>17</v>
      </c>
    </row>
    <row r="13" spans="4:14" ht="28.8" x14ac:dyDescent="0.3">
      <c r="D13" s="2" t="s">
        <v>36</v>
      </c>
      <c r="E13">
        <v>1</v>
      </c>
      <c r="F13" t="s">
        <v>3</v>
      </c>
      <c r="G13" s="17">
        <v>0.9525231481481482</v>
      </c>
      <c r="H13">
        <v>2</v>
      </c>
      <c r="I13" s="16" t="s">
        <v>10</v>
      </c>
    </row>
    <row r="14" spans="4:14" ht="28.8" x14ac:dyDescent="0.3">
      <c r="D14" s="2" t="s">
        <v>36</v>
      </c>
      <c r="E14">
        <v>2</v>
      </c>
      <c r="F14" t="s">
        <v>3</v>
      </c>
      <c r="G14" s="17">
        <v>0.6230324074074074</v>
      </c>
      <c r="H14">
        <v>5</v>
      </c>
      <c r="I14" s="16" t="s">
        <v>5</v>
      </c>
    </row>
    <row r="15" spans="4:14" ht="43.2" x14ac:dyDescent="0.3">
      <c r="D15" s="2" t="s">
        <v>37</v>
      </c>
      <c r="E15">
        <v>3</v>
      </c>
      <c r="F15" t="s">
        <v>3</v>
      </c>
      <c r="G15" s="17">
        <v>0.49729166666666669</v>
      </c>
      <c r="H15">
        <v>2</v>
      </c>
      <c r="I15" s="16" t="s">
        <v>6</v>
      </c>
    </row>
    <row r="16" spans="4:14" ht="28.8" x14ac:dyDescent="0.3">
      <c r="D16" s="2" t="s">
        <v>36</v>
      </c>
      <c r="E16">
        <v>4</v>
      </c>
      <c r="F16" t="s">
        <v>3</v>
      </c>
      <c r="G16" s="17">
        <v>0.53310185185185188</v>
      </c>
      <c r="H16">
        <v>3</v>
      </c>
      <c r="I16" s="16" t="s">
        <v>7</v>
      </c>
    </row>
    <row r="17" spans="4:9" ht="28.8" x14ac:dyDescent="0.3">
      <c r="D17" s="2" t="s">
        <v>37</v>
      </c>
      <c r="E17">
        <v>5</v>
      </c>
      <c r="F17" t="s">
        <v>3</v>
      </c>
      <c r="G17" s="17">
        <v>0.95076388888888885</v>
      </c>
      <c r="H17">
        <v>5</v>
      </c>
      <c r="I17" s="16" t="s">
        <v>8</v>
      </c>
    </row>
    <row r="18" spans="4:9" ht="28.8" x14ac:dyDescent="0.3">
      <c r="D18" s="2" t="s">
        <v>38</v>
      </c>
      <c r="E18">
        <v>6</v>
      </c>
      <c r="F18" t="s">
        <v>3</v>
      </c>
      <c r="G18" s="17">
        <v>0.67489583333333336</v>
      </c>
      <c r="H18">
        <v>3</v>
      </c>
      <c r="I18" s="16" t="s">
        <v>9</v>
      </c>
    </row>
    <row r="19" spans="4:9" ht="28.8" x14ac:dyDescent="0.3">
      <c r="D19" s="2" t="s">
        <v>39</v>
      </c>
      <c r="E19">
        <v>7</v>
      </c>
      <c r="F19" t="s">
        <v>3</v>
      </c>
      <c r="G19" s="17">
        <v>0.50905092592592593</v>
      </c>
      <c r="H19">
        <v>1</v>
      </c>
      <c r="I19" s="16" t="s">
        <v>10</v>
      </c>
    </row>
    <row r="20" spans="4:9" ht="28.8" x14ac:dyDescent="0.3">
      <c r="D20" s="2" t="s">
        <v>40</v>
      </c>
      <c r="E20">
        <v>8</v>
      </c>
      <c r="F20" t="s">
        <v>3</v>
      </c>
      <c r="G20" s="17">
        <v>0.75100694444444449</v>
      </c>
      <c r="H20">
        <v>4</v>
      </c>
      <c r="I20" s="16" t="s">
        <v>5</v>
      </c>
    </row>
    <row r="21" spans="4:9" ht="28.8" x14ac:dyDescent="0.3">
      <c r="D21" s="2" t="s">
        <v>36</v>
      </c>
      <c r="E21">
        <v>9</v>
      </c>
      <c r="F21" t="s">
        <v>3</v>
      </c>
      <c r="G21" s="17">
        <v>0.44305555555555554</v>
      </c>
      <c r="H21">
        <v>3</v>
      </c>
      <c r="I21" s="16" t="s">
        <v>7</v>
      </c>
    </row>
    <row r="22" spans="4:9" ht="43.2" x14ac:dyDescent="0.3">
      <c r="D22" s="2" t="s">
        <v>36</v>
      </c>
      <c r="E22">
        <v>10</v>
      </c>
      <c r="F22" t="s">
        <v>3</v>
      </c>
      <c r="G22" s="17">
        <v>0.86866898148148153</v>
      </c>
      <c r="H22">
        <v>1</v>
      </c>
      <c r="I22" s="16" t="s">
        <v>11</v>
      </c>
    </row>
    <row r="23" spans="4:9" ht="28.8" x14ac:dyDescent="0.3">
      <c r="D23" s="2" t="s">
        <v>38</v>
      </c>
      <c r="E23">
        <v>11</v>
      </c>
      <c r="F23" t="s">
        <v>3</v>
      </c>
      <c r="G23" s="17">
        <v>0.49305555555555558</v>
      </c>
      <c r="H23">
        <v>5</v>
      </c>
      <c r="I23" s="16" t="s">
        <v>12</v>
      </c>
    </row>
    <row r="24" spans="4:9" ht="28.8" x14ac:dyDescent="0.3">
      <c r="D24" s="2" t="s">
        <v>40</v>
      </c>
      <c r="E24">
        <v>12</v>
      </c>
      <c r="F24" t="s">
        <v>3</v>
      </c>
      <c r="G24" s="17">
        <v>0.85506944444444444</v>
      </c>
      <c r="H24">
        <v>1</v>
      </c>
      <c r="I24" s="16" t="s">
        <v>4</v>
      </c>
    </row>
    <row r="25" spans="4:9" ht="28.8" x14ac:dyDescent="0.3">
      <c r="D25" s="2" t="s">
        <v>41</v>
      </c>
      <c r="E25">
        <v>13</v>
      </c>
      <c r="F25" t="s">
        <v>3</v>
      </c>
      <c r="G25" s="17">
        <v>0.49480324074074072</v>
      </c>
      <c r="H25">
        <v>5</v>
      </c>
      <c r="I25" s="16" t="s">
        <v>13</v>
      </c>
    </row>
    <row r="26" spans="4:9" ht="28.8" x14ac:dyDescent="0.3">
      <c r="D26" s="2" t="s">
        <v>41</v>
      </c>
      <c r="E26">
        <v>14</v>
      </c>
      <c r="F26" t="s">
        <v>3</v>
      </c>
      <c r="G26" s="17">
        <v>0.65357638888888892</v>
      </c>
      <c r="H26">
        <v>1</v>
      </c>
      <c r="I26" s="16" t="s">
        <v>10</v>
      </c>
    </row>
    <row r="27" spans="4:9" ht="28.8" x14ac:dyDescent="0.3">
      <c r="D27" s="2" t="s">
        <v>36</v>
      </c>
      <c r="E27">
        <v>15</v>
      </c>
      <c r="F27" t="s">
        <v>3</v>
      </c>
      <c r="G27" s="17">
        <v>0.8075</v>
      </c>
      <c r="H27">
        <v>3</v>
      </c>
      <c r="I27" s="16" t="s">
        <v>9</v>
      </c>
    </row>
    <row r="28" spans="4:9" ht="43.2" x14ac:dyDescent="0.3">
      <c r="D28" s="2" t="s">
        <v>39</v>
      </c>
      <c r="E28">
        <v>16</v>
      </c>
      <c r="F28" t="s">
        <v>3</v>
      </c>
      <c r="G28" s="17">
        <v>0.51960648148148147</v>
      </c>
      <c r="H28">
        <v>3</v>
      </c>
      <c r="I28" s="16" t="s">
        <v>14</v>
      </c>
    </row>
    <row r="29" spans="4:9" ht="28.8" x14ac:dyDescent="0.3">
      <c r="D29" s="2" t="s">
        <v>39</v>
      </c>
      <c r="E29">
        <v>17</v>
      </c>
      <c r="F29" t="s">
        <v>3</v>
      </c>
      <c r="G29" s="17">
        <v>0.5617361111111111</v>
      </c>
      <c r="H29">
        <v>5</v>
      </c>
      <c r="I29" s="16" t="s">
        <v>12</v>
      </c>
    </row>
    <row r="30" spans="4:9" ht="28.8" x14ac:dyDescent="0.3">
      <c r="D30" s="2" t="s">
        <v>36</v>
      </c>
      <c r="E30">
        <v>18</v>
      </c>
      <c r="F30" t="s">
        <v>3</v>
      </c>
      <c r="G30" s="17">
        <v>0.87719907407407405</v>
      </c>
      <c r="H30">
        <v>4</v>
      </c>
      <c r="I30" s="16" t="s">
        <v>5</v>
      </c>
    </row>
    <row r="31" spans="4:9" ht="28.8" x14ac:dyDescent="0.3">
      <c r="D31" s="2" t="s">
        <v>39</v>
      </c>
      <c r="E31">
        <v>19</v>
      </c>
      <c r="F31" t="s">
        <v>3</v>
      </c>
      <c r="G31" s="17">
        <v>0.54196759259259264</v>
      </c>
      <c r="H31">
        <v>4</v>
      </c>
      <c r="I31" s="16" t="s">
        <v>13</v>
      </c>
    </row>
    <row r="32" spans="4:9" ht="28.8" x14ac:dyDescent="0.3">
      <c r="D32" s="2" t="s">
        <v>38</v>
      </c>
      <c r="E32">
        <v>20</v>
      </c>
      <c r="F32" t="s">
        <v>3</v>
      </c>
      <c r="G32" s="17">
        <v>0.66689814814814818</v>
      </c>
      <c r="H32">
        <v>5</v>
      </c>
      <c r="I32" s="16" t="s">
        <v>5</v>
      </c>
    </row>
    <row r="33" spans="4:9" ht="43.2" x14ac:dyDescent="0.3">
      <c r="D33" s="2" t="s">
        <v>40</v>
      </c>
      <c r="E33">
        <v>21</v>
      </c>
      <c r="F33" t="s">
        <v>3</v>
      </c>
      <c r="G33" s="17">
        <v>0.47694444444444445</v>
      </c>
      <c r="H33">
        <v>1</v>
      </c>
      <c r="I33" s="16" t="s">
        <v>6</v>
      </c>
    </row>
    <row r="34" spans="4:9" ht="28.8" x14ac:dyDescent="0.3">
      <c r="D34" s="2" t="s">
        <v>41</v>
      </c>
      <c r="E34">
        <v>22</v>
      </c>
      <c r="F34" t="s">
        <v>3</v>
      </c>
      <c r="G34" s="17">
        <v>0.83741898148148153</v>
      </c>
      <c r="H34">
        <v>1</v>
      </c>
      <c r="I34" s="16" t="s">
        <v>4</v>
      </c>
    </row>
    <row r="35" spans="4:9" ht="28.8" x14ac:dyDescent="0.3">
      <c r="D35" s="2" t="s">
        <v>37</v>
      </c>
      <c r="E35">
        <v>23</v>
      </c>
      <c r="F35" t="s">
        <v>3</v>
      </c>
      <c r="G35" s="17">
        <v>0.48570601851851852</v>
      </c>
      <c r="H35">
        <v>5</v>
      </c>
      <c r="I35" s="16" t="s">
        <v>15</v>
      </c>
    </row>
    <row r="36" spans="4:9" ht="43.2" x14ac:dyDescent="0.3">
      <c r="D36" s="2" t="s">
        <v>37</v>
      </c>
      <c r="E36">
        <v>24</v>
      </c>
      <c r="F36" t="s">
        <v>3</v>
      </c>
      <c r="G36" s="17">
        <v>0.62349537037037039</v>
      </c>
      <c r="H36">
        <v>1</v>
      </c>
      <c r="I36" s="16" t="s">
        <v>6</v>
      </c>
    </row>
    <row r="37" spans="4:9" ht="28.8" x14ac:dyDescent="0.3">
      <c r="D37" s="2" t="s">
        <v>38</v>
      </c>
      <c r="E37">
        <v>25</v>
      </c>
      <c r="F37" t="s">
        <v>3</v>
      </c>
      <c r="G37" s="17">
        <v>0.62005787037037041</v>
      </c>
      <c r="H37">
        <v>4</v>
      </c>
      <c r="I37" s="16" t="s">
        <v>12</v>
      </c>
    </row>
    <row r="38" spans="4:9" ht="28.8" x14ac:dyDescent="0.3">
      <c r="D38" s="2" t="s">
        <v>36</v>
      </c>
      <c r="E38">
        <v>26</v>
      </c>
      <c r="F38" t="s">
        <v>3</v>
      </c>
      <c r="G38" s="17">
        <v>0.71309027777777778</v>
      </c>
      <c r="H38">
        <v>1</v>
      </c>
      <c r="I38" s="16" t="s">
        <v>4</v>
      </c>
    </row>
    <row r="39" spans="4:9" ht="43.2" x14ac:dyDescent="0.3">
      <c r="D39" s="2" t="s">
        <v>37</v>
      </c>
      <c r="E39">
        <v>27</v>
      </c>
      <c r="F39" t="s">
        <v>3</v>
      </c>
      <c r="G39" s="17">
        <v>0.71758101851851852</v>
      </c>
      <c r="H39">
        <v>2</v>
      </c>
      <c r="I39" s="16" t="s">
        <v>6</v>
      </c>
    </row>
    <row r="40" spans="4:9" ht="28.8" x14ac:dyDescent="0.3">
      <c r="D40" s="2" t="s">
        <v>36</v>
      </c>
      <c r="E40">
        <v>28</v>
      </c>
      <c r="F40" t="s">
        <v>3</v>
      </c>
      <c r="G40" s="17">
        <v>0.52876157407407409</v>
      </c>
      <c r="H40">
        <v>3</v>
      </c>
      <c r="I40" s="16" t="s">
        <v>9</v>
      </c>
    </row>
    <row r="41" spans="4:9" ht="28.8" x14ac:dyDescent="0.3">
      <c r="D41" s="2" t="s">
        <v>38</v>
      </c>
      <c r="E41">
        <v>29</v>
      </c>
      <c r="F41" t="s">
        <v>3</v>
      </c>
      <c r="G41" s="17">
        <v>0.67924768518518519</v>
      </c>
      <c r="H41">
        <v>5</v>
      </c>
      <c r="I41" s="16" t="s">
        <v>15</v>
      </c>
    </row>
    <row r="42" spans="4:9" ht="28.8" x14ac:dyDescent="0.3">
      <c r="D42" s="2" t="s">
        <v>39</v>
      </c>
      <c r="E42">
        <v>30</v>
      </c>
      <c r="F42" t="s">
        <v>3</v>
      </c>
      <c r="G42" s="17">
        <v>0.81266203703703699</v>
      </c>
      <c r="H42">
        <v>1</v>
      </c>
      <c r="I42" s="16" t="s">
        <v>10</v>
      </c>
    </row>
    <row r="43" spans="4:9" ht="28.8" x14ac:dyDescent="0.3">
      <c r="D43" s="2" t="s">
        <v>38</v>
      </c>
      <c r="E43">
        <v>31</v>
      </c>
      <c r="F43" t="s">
        <v>3</v>
      </c>
      <c r="G43" s="17">
        <v>0.80457175925925928</v>
      </c>
      <c r="H43">
        <v>4</v>
      </c>
      <c r="I43" s="16" t="s">
        <v>15</v>
      </c>
    </row>
    <row r="44" spans="4:9" ht="28.8" x14ac:dyDescent="0.3">
      <c r="D44" s="2" t="s">
        <v>36</v>
      </c>
      <c r="E44">
        <v>32</v>
      </c>
      <c r="F44" t="s">
        <v>3</v>
      </c>
      <c r="G44" s="17">
        <v>0.89155092592592589</v>
      </c>
      <c r="H44">
        <v>5</v>
      </c>
      <c r="I44" s="16" t="s">
        <v>5</v>
      </c>
    </row>
    <row r="45" spans="4:9" ht="28.8" x14ac:dyDescent="0.3">
      <c r="D45" s="2" t="s">
        <v>37</v>
      </c>
      <c r="E45">
        <v>33</v>
      </c>
      <c r="F45" t="s">
        <v>3</v>
      </c>
      <c r="G45" s="17">
        <v>0.7389930555555555</v>
      </c>
      <c r="H45">
        <v>2</v>
      </c>
      <c r="I45" s="16" t="s">
        <v>4</v>
      </c>
    </row>
    <row r="46" spans="4:9" ht="43.2" x14ac:dyDescent="0.3">
      <c r="D46" s="2" t="s">
        <v>39</v>
      </c>
      <c r="E46">
        <v>34</v>
      </c>
      <c r="F46" t="s">
        <v>3</v>
      </c>
      <c r="G46" s="17">
        <v>0.54164351851851855</v>
      </c>
      <c r="H46">
        <v>3</v>
      </c>
      <c r="I46" s="16" t="s">
        <v>16</v>
      </c>
    </row>
    <row r="47" spans="4:9" ht="43.2" x14ac:dyDescent="0.3">
      <c r="D47" s="2" t="s">
        <v>38</v>
      </c>
      <c r="E47">
        <v>35</v>
      </c>
      <c r="F47" t="s">
        <v>3</v>
      </c>
      <c r="G47" s="17">
        <v>0.42674768518518519</v>
      </c>
      <c r="H47">
        <v>1</v>
      </c>
      <c r="I47" s="16" t="s">
        <v>11</v>
      </c>
    </row>
    <row r="48" spans="4:9" ht="28.8" x14ac:dyDescent="0.3">
      <c r="D48" s="2" t="s">
        <v>40</v>
      </c>
      <c r="E48">
        <v>36</v>
      </c>
      <c r="F48" t="s">
        <v>3</v>
      </c>
      <c r="G48" s="17">
        <v>0.52942129629629631</v>
      </c>
      <c r="H48">
        <v>5</v>
      </c>
      <c r="I48" s="16" t="s">
        <v>13</v>
      </c>
    </row>
    <row r="49" spans="4:9" ht="43.2" x14ac:dyDescent="0.3">
      <c r="D49" s="2" t="s">
        <v>41</v>
      </c>
      <c r="E49">
        <v>37</v>
      </c>
      <c r="F49" t="s">
        <v>3</v>
      </c>
      <c r="G49" s="17">
        <v>0.81245370370370373</v>
      </c>
      <c r="H49">
        <v>1</v>
      </c>
      <c r="I49" s="16" t="s">
        <v>6</v>
      </c>
    </row>
    <row r="50" spans="4:9" ht="28.8" x14ac:dyDescent="0.3">
      <c r="D50" s="2" t="s">
        <v>40</v>
      </c>
      <c r="E50">
        <v>38</v>
      </c>
      <c r="F50" t="s">
        <v>3</v>
      </c>
      <c r="G50" s="17">
        <v>0.71032407407407405</v>
      </c>
      <c r="H50">
        <v>5</v>
      </c>
      <c r="I50" s="16" t="s">
        <v>15</v>
      </c>
    </row>
    <row r="51" spans="4:9" ht="28.8" x14ac:dyDescent="0.3">
      <c r="D51" s="2" t="s">
        <v>41</v>
      </c>
      <c r="E51">
        <v>39</v>
      </c>
      <c r="F51" t="s">
        <v>3</v>
      </c>
      <c r="G51" s="17">
        <v>0.76959490740740744</v>
      </c>
      <c r="H51">
        <v>5</v>
      </c>
      <c r="I51" s="16" t="s">
        <v>13</v>
      </c>
    </row>
    <row r="52" spans="4:9" ht="43.2" x14ac:dyDescent="0.3">
      <c r="D52" s="2" t="s">
        <v>39</v>
      </c>
      <c r="E52">
        <v>40</v>
      </c>
      <c r="F52" t="s">
        <v>3</v>
      </c>
      <c r="G52" s="17">
        <v>0.65385416666666663</v>
      </c>
      <c r="H52">
        <v>3</v>
      </c>
      <c r="I52" s="16" t="s">
        <v>16</v>
      </c>
    </row>
    <row r="53" spans="4:9" ht="28.8" x14ac:dyDescent="0.3">
      <c r="D53" s="2" t="s">
        <v>38</v>
      </c>
      <c r="E53">
        <v>41</v>
      </c>
      <c r="F53" t="s">
        <v>3</v>
      </c>
      <c r="G53" s="17">
        <v>0.53741898148148148</v>
      </c>
      <c r="H53">
        <v>1</v>
      </c>
      <c r="I53" s="16" t="s">
        <v>10</v>
      </c>
    </row>
    <row r="54" spans="4:9" ht="28.8" x14ac:dyDescent="0.3">
      <c r="D54" s="2" t="s">
        <v>36</v>
      </c>
      <c r="E54">
        <v>42</v>
      </c>
      <c r="F54" t="s">
        <v>3</v>
      </c>
      <c r="G54" s="17">
        <v>0.7117013888888889</v>
      </c>
      <c r="H54">
        <v>5</v>
      </c>
      <c r="I54" s="16" t="s">
        <v>8</v>
      </c>
    </row>
  </sheetData>
  <mergeCells count="6">
    <mergeCell ref="D10:I11"/>
    <mergeCell ref="M4:N4"/>
    <mergeCell ref="E7:F7"/>
    <mergeCell ref="E1:I2"/>
    <mergeCell ref="E4:G4"/>
    <mergeCell ref="E6:F6"/>
  </mergeCells>
  <conditionalFormatting sqref="H13:H54">
    <cfRule type="cellIs" dxfId="1" priority="1" operator="lessThan">
      <formula>3.5</formula>
    </cfRule>
    <cfRule type="cellIs" dxfId="0" priority="2" operator="between">
      <formula>5</formula>
      <formula>3.5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3011-E453-46ED-BFED-1695A613293A}">
  <sheetPr codeName="Sheet2">
    <tabColor theme="0" tint="-0.249977111117893"/>
  </sheetPr>
  <dimension ref="F23:BG41"/>
  <sheetViews>
    <sheetView showGridLines="0" tabSelected="1" zoomScale="61" zoomScaleNormal="71" workbookViewId="0">
      <selection activeCell="BG40" sqref="BG40"/>
    </sheetView>
  </sheetViews>
  <sheetFormatPr defaultRowHeight="14.4" x14ac:dyDescent="0.3"/>
  <cols>
    <col min="6" max="6" width="15.6640625" bestFit="1" customWidth="1"/>
    <col min="7" max="7" width="13.88671875" bestFit="1" customWidth="1"/>
    <col min="8" max="8" width="2" bestFit="1" customWidth="1"/>
    <col min="9" max="11" width="3" bestFit="1" customWidth="1"/>
    <col min="12" max="12" width="11.33203125" bestFit="1" customWidth="1"/>
    <col min="13" max="15" width="2" bestFit="1" customWidth="1"/>
    <col min="16" max="48" width="3" bestFit="1" customWidth="1"/>
    <col min="49" max="50" width="11.33203125" bestFit="1" customWidth="1"/>
  </cols>
  <sheetData>
    <row r="23" spans="6:7" x14ac:dyDescent="0.3">
      <c r="F23" s="4" t="s">
        <v>2</v>
      </c>
      <c r="G23" t="s">
        <v>26</v>
      </c>
    </row>
    <row r="24" spans="6:7" x14ac:dyDescent="0.3">
      <c r="F24">
        <v>1</v>
      </c>
      <c r="G24">
        <v>12</v>
      </c>
    </row>
    <row r="25" spans="6:7" x14ac:dyDescent="0.3">
      <c r="F25">
        <v>2</v>
      </c>
      <c r="G25">
        <v>8</v>
      </c>
    </row>
    <row r="26" spans="6:7" x14ac:dyDescent="0.3">
      <c r="F26">
        <v>3</v>
      </c>
      <c r="G26">
        <v>24</v>
      </c>
    </row>
    <row r="27" spans="6:7" x14ac:dyDescent="0.3">
      <c r="F27">
        <v>4</v>
      </c>
      <c r="G27">
        <v>20</v>
      </c>
    </row>
    <row r="28" spans="6:7" x14ac:dyDescent="0.3">
      <c r="F28">
        <v>5</v>
      </c>
      <c r="G28">
        <v>65</v>
      </c>
    </row>
    <row r="29" spans="6:7" x14ac:dyDescent="0.3">
      <c r="F29" t="s">
        <v>25</v>
      </c>
      <c r="G29">
        <v>129</v>
      </c>
    </row>
    <row r="33" spans="6:59" x14ac:dyDescent="0.3">
      <c r="F33" s="31" t="s">
        <v>31</v>
      </c>
      <c r="G33" s="31"/>
    </row>
    <row r="34" spans="6:59" x14ac:dyDescent="0.3">
      <c r="F34" s="31"/>
      <c r="G34" s="31"/>
    </row>
    <row r="35" spans="6:59" x14ac:dyDescent="0.3">
      <c r="F35" s="31"/>
      <c r="G35" s="31"/>
    </row>
    <row r="36" spans="6:59" x14ac:dyDescent="0.3">
      <c r="F36" s="13" t="s">
        <v>42</v>
      </c>
      <c r="G36" s="11" t="s">
        <v>43</v>
      </c>
    </row>
    <row r="37" spans="6:59" x14ac:dyDescent="0.3">
      <c r="F37" s="14" t="s">
        <v>27</v>
      </c>
      <c r="G37" s="10">
        <f>SUMIF($F$24:$F$28,"&gt;3",$G$24:$G$28)</f>
        <v>85</v>
      </c>
    </row>
    <row r="38" spans="6:59" x14ac:dyDescent="0.3">
      <c r="F38" s="14" t="s">
        <v>28</v>
      </c>
      <c r="G38" s="10">
        <f>SUMIF($F$24:$F$28,"&lt;3",$G$24:$G$28)</f>
        <v>20</v>
      </c>
    </row>
    <row r="39" spans="6:59" x14ac:dyDescent="0.3">
      <c r="F39" s="14" t="s">
        <v>29</v>
      </c>
      <c r="G39" s="10">
        <f>SUMIF($F$24:$F$28,"=3",$G$24:$G$28)</f>
        <v>24</v>
      </c>
    </row>
    <row r="40" spans="6:59" x14ac:dyDescent="0.3">
      <c r="F40" s="14"/>
      <c r="G40" s="10"/>
      <c r="BG40" t="s">
        <v>44</v>
      </c>
    </row>
    <row r="41" spans="6:59" x14ac:dyDescent="0.3">
      <c r="F41" s="15" t="s">
        <v>30</v>
      </c>
      <c r="G41" s="12" t="str">
        <f>IF(G37&gt;G38,IF(G37&gt;G39,"Max satisfied"),IF(G38&gt;G39,"Satisfied","Min satisfied"))</f>
        <v>Max satisfied</v>
      </c>
    </row>
  </sheetData>
  <mergeCells count="1">
    <mergeCell ref="F33:G35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 checker review</vt:lpstr>
      <vt:lpstr>pivot table and visualisation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尺ㄖ卄丨ㄒ 尺</cp:lastModifiedBy>
  <dcterms:created xsi:type="dcterms:W3CDTF">2024-10-29T19:15:03Z</dcterms:created>
  <dcterms:modified xsi:type="dcterms:W3CDTF">2026-04-19T17:53:09Z</dcterms:modified>
</cp:coreProperties>
</file>